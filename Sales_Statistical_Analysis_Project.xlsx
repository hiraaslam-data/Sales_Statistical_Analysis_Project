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3C861AB2-B5E2-4514-8561-6199F3A742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4" i="1" l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X24" i="1"/>
  <c r="X23" i="1"/>
  <c r="X22" i="1"/>
  <c r="X21" i="1"/>
  <c r="X20" i="1"/>
  <c r="X19" i="1"/>
  <c r="X18" i="1"/>
  <c r="X17" i="1"/>
</calcChain>
</file>

<file path=xl/sharedStrings.xml><?xml version="1.0" encoding="utf-8"?>
<sst xmlns="http://schemas.openxmlformats.org/spreadsheetml/2006/main" count="89" uniqueCount="55">
  <si>
    <t>Month</t>
  </si>
  <si>
    <t>Sales_Units (Y)</t>
  </si>
  <si>
    <t>Ad_Budget_$ (X)</t>
  </si>
  <si>
    <t>Customer_Rating</t>
  </si>
  <si>
    <t>Jan</t>
  </si>
  <si>
    <t>Feb</t>
  </si>
  <si>
    <t>Mar</t>
  </si>
  <si>
    <t>Apr</t>
  </si>
  <si>
    <t>May</t>
  </si>
  <si>
    <t>SUMMARY OUTPUT</t>
  </si>
  <si>
    <t>Jun</t>
  </si>
  <si>
    <t>Jul</t>
  </si>
  <si>
    <t>Mean</t>
  </si>
  <si>
    <t>Regression Statistics</t>
  </si>
  <si>
    <t>Bin</t>
  </si>
  <si>
    <t>Frequency</t>
  </si>
  <si>
    <t>Aug</t>
  </si>
  <si>
    <t>Standard Error</t>
  </si>
  <si>
    <t>Multiple R</t>
  </si>
  <si>
    <t>Sep</t>
  </si>
  <si>
    <t>Median</t>
  </si>
  <si>
    <t>R Square</t>
  </si>
  <si>
    <t>Oct</t>
  </si>
  <si>
    <t>Mode</t>
  </si>
  <si>
    <t>Adjusted R Square</t>
  </si>
  <si>
    <t>Sample Sales</t>
  </si>
  <si>
    <t>Nov</t>
  </si>
  <si>
    <t>Standard Deviation</t>
  </si>
  <si>
    <t>Forecast</t>
  </si>
  <si>
    <t>More</t>
  </si>
  <si>
    <t>Dec</t>
  </si>
  <si>
    <t>Sample Variance</t>
  </si>
  <si>
    <t>Observations</t>
  </si>
  <si>
    <t>Kurtosis</t>
  </si>
  <si>
    <t>Skewness</t>
  </si>
  <si>
    <t>ANOVA</t>
  </si>
  <si>
    <t>Range</t>
  </si>
  <si>
    <t>df</t>
  </si>
  <si>
    <t>SS</t>
  </si>
  <si>
    <t>MS</t>
  </si>
  <si>
    <t>F</t>
  </si>
  <si>
    <t>Significance F</t>
  </si>
  <si>
    <t>Minimum</t>
  </si>
  <si>
    <t>Regression</t>
  </si>
  <si>
    <t>Maximum</t>
  </si>
  <si>
    <t>Residual</t>
  </si>
  <si>
    <t>Sum</t>
  </si>
  <si>
    <t>Total</t>
  </si>
  <si>
    <t>Count</t>
  </si>
  <si>
    <t>Coefficients</t>
  </si>
  <si>
    <t>t Stat</t>
  </si>
  <si>
    <t>P-value</t>
  </si>
  <si>
    <t>Lower 95%</t>
  </si>
  <si>
    <t>Upper 95%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</si>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</sst>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1" fontId="0" fillId="0" borderId="0" xfId="0" applyNumberForma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Sheet1!$AF$8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Sheet1!$AE$9:$AE$12</c:f>
              <c:strCache>
                <c:ptCount val="4"/>
                <c:pt idx="0">
                  <c:v>150</c:v>
                </c:pt>
                <c:pt idx="1">
                  <c:v>186.6666667</c:v>
                </c:pt>
                <c:pt idx="2">
                  <c:v>223.3333333</c:v>
                </c:pt>
                <c:pt idx="3">
                  <c:v>More</c:v>
                </c:pt>
              </c:strCache>
            </c:strRef>
          </c:cat>
          <c:val>
            <c:numRef>
              <c:f>Sheet1!$AF$9:$AF$12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1-43EC-9D9A-5C8DA81C9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5803784"/>
        <c:axId val="705815048"/>
      </c:barChart>
      <c:catAx>
        <c:axId val="70580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15048"/>
        <c:crosses val="autoZero"/>
        <c:auto val="1"/>
        <c:lblAlgn val="ctr"/>
        <c:lblOffset val="100"/>
        <c:noMultiLvlLbl val="0"/>
      </c:catAx>
      <c:valAx>
        <c:axId val="70581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0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23</xdr:row>
      <xdr:rowOff>47625</xdr:rowOff>
    </xdr:from>
    <xdr:to>
      <xdr:col>9</xdr:col>
      <xdr:colOff>962025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FEAA1E-F0A8-3B3A-C8B6-42E4F2EAC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A21C7-CC9F-4780-91AF-510C34E91F93}" name="Table1" displayName="Table1" ref="A1:D13" totalsRowShown="0">
  <autoFilter ref="A1:D13" xr:uid="{287A21C7-CC9F-4780-91AF-510C34E91F93}"/>
  <tableColumns count="4">
    <tableColumn id="1" xr3:uid="{F85511AC-7C89-4CB5-97C7-A80741338D5F}" name="Month"/>
    <tableColumn id="2" xr3:uid="{8E73E5C5-414E-4388-9D18-57530B74F685}" name="Sales_Units (Y)"/>
    <tableColumn id="3" xr3:uid="{A146DA75-E98A-4030-B658-2D446CB473E6}" name="Ad_Budget_$ (X)"/>
    <tableColumn id="4" xr3:uid="{8A747229-75F9-442A-AD5D-06DCFCDCF46F}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AE5320-2526-4B88-B4C7-A0C93BC03A92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230F5BBB-4651-45D2-8DBE-E23ECE8BFCAE}"/>
    <we:binding id="Input" type="matrix" appref="{B3A3492D-2678-41FB-8755-F39E7FEDE52C}"/>
    <we:binding id="Output" type="matrix" appref="{8A814C26-CC17-44E0-AD7D-9D24A8744F0E}"/>
    <we:binding id="InputY" type="matrix" appref="{55BE9783-83D9-48E6-8D65-91C1B5996D45}"/>
    <we:binding id="InputX" type="matrix" appref="{659F0DF8-14AD-4FAE-AB93-634BC2DE53F0}"/>
    <we:binding id="rngBin" type="matrix" appref="{F563B125-D749-4D9A-977F-1BAF2369469D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tabSelected="1" topLeftCell="I1" workbookViewId="0">
      <selection activeCell="AD1" sqref="AD1"/>
    </sheetView>
  </sheetViews>
  <sheetFormatPr defaultRowHeight="15"/>
  <cols>
    <col min="1" max="1" width="9.7109375" customWidth="1"/>
    <col min="2" max="2" width="16.7109375" bestFit="1" customWidth="1"/>
    <col min="3" max="3" width="18.5703125" bestFit="1" customWidth="1"/>
    <col min="4" max="4" width="19" bestFit="1" customWidth="1"/>
    <col min="5" max="5" width="2" customWidth="1"/>
    <col min="6" max="6" width="18.140625" customWidth="1"/>
    <col min="7" max="7" width="10.85546875" customWidth="1"/>
    <col min="8" max="8" width="17" customWidth="1"/>
    <col min="9" max="9" width="17.85546875" customWidth="1"/>
    <col min="10" max="10" width="16.85546875" customWidth="1"/>
    <col min="11" max="11" width="10.28515625" customWidth="1"/>
    <col min="13" max="13" width="16.5703125" customWidth="1"/>
    <col min="14" max="14" width="10.7109375" customWidth="1"/>
    <col min="15" max="15" width="13.42578125" customWidth="1"/>
    <col min="16" max="16" width="10.140625" customWidth="1"/>
    <col min="17" max="17" width="10.42578125" bestFit="1" customWidth="1"/>
    <col min="18" max="18" width="12.85546875" customWidth="1"/>
    <col min="19" max="19" width="10.42578125" customWidth="1"/>
    <col min="20" max="20" width="10.5703125" customWidth="1"/>
    <col min="21" max="21" width="10.28515625" customWidth="1"/>
    <col min="22" max="22" width="1.42578125" customWidth="1"/>
    <col min="25" max="25" width="0.42578125" customWidth="1"/>
    <col min="26" max="26" width="4" customWidth="1"/>
    <col min="27" max="27" width="7.42578125" customWidth="1"/>
    <col min="29" max="29" width="7.28515625" customWidth="1"/>
    <col min="30" max="30" width="6.42578125" customWidth="1"/>
    <col min="32" max="32" width="10.42578125" customWidth="1"/>
    <col min="33" max="35" width="20.5703125" customWidth="1"/>
    <col min="36" max="36" width="0.8554687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</row>
    <row r="2" spans="1:32">
      <c r="A2" t="s">
        <v>4</v>
      </c>
      <c r="B2">
        <v>150</v>
      </c>
      <c r="C2">
        <v>12</v>
      </c>
      <c r="D2">
        <v>4.2</v>
      </c>
    </row>
    <row r="3" spans="1:32">
      <c r="A3" t="s">
        <v>5</v>
      </c>
      <c r="B3">
        <v>165</v>
      </c>
      <c r="C3">
        <v>14</v>
      </c>
      <c r="D3">
        <v>4.0999999999999996</v>
      </c>
      <c r="AE3" s="6"/>
    </row>
    <row r="4" spans="1:32">
      <c r="A4" t="s">
        <v>6</v>
      </c>
      <c r="B4">
        <v>160</v>
      </c>
      <c r="C4">
        <v>13</v>
      </c>
      <c r="D4">
        <v>4.5</v>
      </c>
    </row>
    <row r="5" spans="1:32">
      <c r="A5" t="s">
        <v>7</v>
      </c>
      <c r="B5">
        <v>180</v>
      </c>
      <c r="C5">
        <v>18</v>
      </c>
      <c r="D5">
        <v>4</v>
      </c>
      <c r="AE5" s="6"/>
    </row>
    <row r="6" spans="1:32">
      <c r="A6" t="s">
        <v>8</v>
      </c>
      <c r="B6">
        <v>175</v>
      </c>
      <c r="C6">
        <v>16</v>
      </c>
      <c r="D6">
        <v>4.3</v>
      </c>
      <c r="F6" s="8" t="s">
        <v>1</v>
      </c>
      <c r="G6" s="7"/>
      <c r="H6" s="10" t="s">
        <v>2</v>
      </c>
      <c r="I6" s="10"/>
      <c r="J6" s="10" t="s">
        <v>3</v>
      </c>
      <c r="K6" s="10"/>
      <c r="L6" s="6"/>
      <c r="M6" s="10" t="s">
        <v>9</v>
      </c>
      <c r="N6" s="10"/>
    </row>
    <row r="7" spans="1:32">
      <c r="A7" t="s">
        <v>10</v>
      </c>
      <c r="B7">
        <v>195</v>
      </c>
      <c r="C7">
        <v>21</v>
      </c>
      <c r="D7">
        <v>4.5999999999999996</v>
      </c>
      <c r="AE7" s="6"/>
    </row>
    <row r="8" spans="1:32">
      <c r="A8" t="s">
        <v>11</v>
      </c>
      <c r="B8">
        <v>210</v>
      </c>
      <c r="C8">
        <v>25</v>
      </c>
      <c r="D8">
        <v>4.7</v>
      </c>
      <c r="F8" t="s">
        <v>12</v>
      </c>
      <c r="G8" s="4">
        <v>199.583333333333</v>
      </c>
      <c r="H8" t="s">
        <v>12</v>
      </c>
      <c r="I8" s="4">
        <v>21.5833333333333</v>
      </c>
      <c r="J8" t="s">
        <v>12</v>
      </c>
      <c r="K8" s="3">
        <v>4.5083333333333302</v>
      </c>
      <c r="M8" t="s">
        <v>13</v>
      </c>
      <c r="AE8" t="s">
        <v>14</v>
      </c>
      <c r="AF8" t="s">
        <v>15</v>
      </c>
    </row>
    <row r="9" spans="1:32">
      <c r="A9" t="s">
        <v>16</v>
      </c>
      <c r="B9">
        <v>205</v>
      </c>
      <c r="C9">
        <v>22</v>
      </c>
      <c r="D9">
        <v>4.4000000000000004</v>
      </c>
      <c r="F9" t="s">
        <v>17</v>
      </c>
      <c r="G9" s="3">
        <v>10.0086767912202</v>
      </c>
      <c r="H9" t="s">
        <v>17</v>
      </c>
      <c r="I9" s="3">
        <v>2.0429417786885402</v>
      </c>
      <c r="J9" t="s">
        <v>17</v>
      </c>
      <c r="K9" s="2">
        <v>9.1666666666666605E-2</v>
      </c>
      <c r="M9" t="s">
        <v>18</v>
      </c>
      <c r="N9">
        <v>0.99403253071676601</v>
      </c>
      <c r="AE9" s="6">
        <v>150</v>
      </c>
      <c r="AF9">
        <v>1</v>
      </c>
    </row>
    <row r="10" spans="1:32">
      <c r="A10" t="s">
        <v>19</v>
      </c>
      <c r="B10">
        <v>225</v>
      </c>
      <c r="C10">
        <v>28</v>
      </c>
      <c r="D10">
        <v>4.8</v>
      </c>
      <c r="F10" t="s">
        <v>20</v>
      </c>
      <c r="G10">
        <v>200</v>
      </c>
      <c r="H10" t="s">
        <v>20</v>
      </c>
      <c r="I10">
        <v>21.5</v>
      </c>
      <c r="J10" t="s">
        <v>20</v>
      </c>
      <c r="K10">
        <v>4.55</v>
      </c>
      <c r="M10" t="s">
        <v>21</v>
      </c>
      <c r="N10">
        <v>0.98810067212317798</v>
      </c>
      <c r="AE10">
        <v>186.666666666666</v>
      </c>
      <c r="AF10">
        <v>4</v>
      </c>
    </row>
    <row r="11" spans="1:32">
      <c r="A11" t="s">
        <v>22</v>
      </c>
      <c r="B11">
        <v>240</v>
      </c>
      <c r="C11">
        <v>30</v>
      </c>
      <c r="D11">
        <v>4.9000000000000004</v>
      </c>
      <c r="F11" t="s">
        <v>23</v>
      </c>
      <c r="G11">
        <v>260</v>
      </c>
      <c r="H11" t="s">
        <v>23</v>
      </c>
      <c r="I11">
        <v>33</v>
      </c>
      <c r="J11" t="s">
        <v>23</v>
      </c>
      <c r="K11">
        <v>4.5999999999999996</v>
      </c>
      <c r="M11" t="s">
        <v>24</v>
      </c>
      <c r="N11">
        <v>0.986910739335496</v>
      </c>
      <c r="AA11" s="9" t="s">
        <v>25</v>
      </c>
      <c r="AB11" s="9"/>
      <c r="AE11">
        <v>223.333333333333</v>
      </c>
      <c r="AF11">
        <v>3</v>
      </c>
    </row>
    <row r="12" spans="1:32">
      <c r="A12" t="s">
        <v>26</v>
      </c>
      <c r="B12">
        <v>230</v>
      </c>
      <c r="C12">
        <v>27</v>
      </c>
      <c r="D12">
        <v>4.5999999999999996</v>
      </c>
      <c r="F12" t="s">
        <v>27</v>
      </c>
      <c r="G12" s="4">
        <v>34.6710734378578</v>
      </c>
      <c r="H12" t="s">
        <v>27</v>
      </c>
      <c r="I12" s="3">
        <v>7.0769579151873803</v>
      </c>
      <c r="J12" t="s">
        <v>27</v>
      </c>
      <c r="K12" s="2">
        <v>0.317542648054294</v>
      </c>
      <c r="M12" t="s">
        <v>17</v>
      </c>
      <c r="N12">
        <v>3.9666588069123501</v>
      </c>
      <c r="W12" s="9" t="s">
        <v>28</v>
      </c>
      <c r="X12" s="9"/>
      <c r="AA12" s="9">
        <v>240</v>
      </c>
      <c r="AB12" s="9"/>
      <c r="AE12" t="s">
        <v>29</v>
      </c>
      <c r="AF12">
        <v>4</v>
      </c>
    </row>
    <row r="13" spans="1:32">
      <c r="A13" t="s">
        <v>30</v>
      </c>
      <c r="B13">
        <v>260</v>
      </c>
      <c r="C13">
        <v>33</v>
      </c>
      <c r="D13">
        <v>5</v>
      </c>
      <c r="F13" t="s">
        <v>31</v>
      </c>
      <c r="G13" s="3">
        <v>1202.0833333333301</v>
      </c>
      <c r="H13" t="s">
        <v>31</v>
      </c>
      <c r="I13" s="3">
        <v>50.0833333333333</v>
      </c>
      <c r="J13" t="s">
        <v>31</v>
      </c>
      <c r="K13" s="3">
        <v>0.100833333333333</v>
      </c>
      <c r="M13" t="s">
        <v>32</v>
      </c>
      <c r="N13">
        <v>12</v>
      </c>
      <c r="W13" t="e">
        <v>#N/A</v>
      </c>
      <c r="X13" t="e">
        <v>#N/A</v>
      </c>
      <c r="AA13" s="9">
        <v>160</v>
      </c>
      <c r="AB13" s="9"/>
    </row>
    <row r="14" spans="1:32">
      <c r="F14" t="s">
        <v>33</v>
      </c>
      <c r="G14" s="2">
        <v>-1.0104568842005299</v>
      </c>
      <c r="H14" t="s">
        <v>33</v>
      </c>
      <c r="I14" s="3">
        <v>-1.3316888531719</v>
      </c>
      <c r="J14" t="s">
        <v>33</v>
      </c>
      <c r="K14" s="3">
        <v>-0.99058807458506803</v>
      </c>
      <c r="W14">
        <f>$B$2</f>
        <v>150</v>
      </c>
      <c r="X14" t="e">
        <v>#N/A</v>
      </c>
      <c r="AA14" s="9">
        <v>165</v>
      </c>
      <c r="AB14" s="9"/>
    </row>
    <row r="15" spans="1:32">
      <c r="F15" t="s">
        <v>34</v>
      </c>
      <c r="G15" s="2">
        <v>0.22158319360847101</v>
      </c>
      <c r="H15" t="s">
        <v>34</v>
      </c>
      <c r="I15" s="1">
        <v>0.116501238356142</v>
      </c>
      <c r="J15" t="s">
        <v>34</v>
      </c>
      <c r="K15" s="2">
        <v>-9.1092078534806498E-2</v>
      </c>
      <c r="M15" t="s">
        <v>35</v>
      </c>
      <c r="W15">
        <f>0.7*$B$3+0.3*$W$14</f>
        <v>160.5</v>
      </c>
      <c r="X15" t="e">
        <v>#N/A</v>
      </c>
      <c r="AA15" s="9">
        <v>240</v>
      </c>
      <c r="AB15" s="9"/>
    </row>
    <row r="16" spans="1:32">
      <c r="F16" t="s">
        <v>36</v>
      </c>
      <c r="G16">
        <v>110</v>
      </c>
      <c r="H16" t="s">
        <v>36</v>
      </c>
      <c r="I16">
        <v>21</v>
      </c>
      <c r="J16" t="s">
        <v>36</v>
      </c>
      <c r="K16">
        <v>1</v>
      </c>
      <c r="N16" t="s">
        <v>37</v>
      </c>
      <c r="O16" t="s">
        <v>38</v>
      </c>
      <c r="P16" t="s">
        <v>39</v>
      </c>
      <c r="Q16" t="s">
        <v>40</v>
      </c>
      <c r="R16" t="s">
        <v>41</v>
      </c>
      <c r="W16">
        <f>0.7*$B$4+0.3*$W$15</f>
        <v>160.15</v>
      </c>
      <c r="X16" t="e">
        <v>#N/A</v>
      </c>
    </row>
    <row r="17" spans="6:24">
      <c r="F17" t="s">
        <v>42</v>
      </c>
      <c r="G17">
        <v>150</v>
      </c>
      <c r="H17" t="s">
        <v>42</v>
      </c>
      <c r="I17">
        <v>12</v>
      </c>
      <c r="J17" t="s">
        <v>42</v>
      </c>
      <c r="K17">
        <v>4</v>
      </c>
      <c r="M17" t="s">
        <v>43</v>
      </c>
      <c r="N17">
        <v>1</v>
      </c>
      <c r="O17">
        <v>13065.572845762101</v>
      </c>
      <c r="P17">
        <v>13065.572845762101</v>
      </c>
      <c r="Q17">
        <v>830.38360010895201</v>
      </c>
      <c r="R17" s="5">
        <v>5.9003468777518694E-11</v>
      </c>
      <c r="W17">
        <f>0.7*$B$5+0.3*$W$16</f>
        <v>174.04499999999999</v>
      </c>
      <c r="X17">
        <f>SQRT(SUMXMY2($B$3:$B$5,$W$14:$W$16)/3)</f>
        <v>14.367469041785563</v>
      </c>
    </row>
    <row r="18" spans="6:24">
      <c r="F18" t="s">
        <v>44</v>
      </c>
      <c r="G18">
        <v>260</v>
      </c>
      <c r="H18" t="s">
        <v>44</v>
      </c>
      <c r="I18">
        <v>33</v>
      </c>
      <c r="J18" t="s">
        <v>44</v>
      </c>
      <c r="K18">
        <v>5</v>
      </c>
      <c r="M18" t="s">
        <v>45</v>
      </c>
      <c r="N18">
        <v>10</v>
      </c>
      <c r="O18">
        <v>157.34382090455301</v>
      </c>
      <c r="P18">
        <v>15.7343820904553</v>
      </c>
      <c r="W18">
        <f>0.7*$B$6+0.3*$W$17</f>
        <v>174.71349999999998</v>
      </c>
      <c r="X18">
        <f>SQRT(SUMXMY2($B$4:$B$6,$W$15:$W$17)/3)</f>
        <v>11.47728953194089</v>
      </c>
    </row>
    <row r="19" spans="6:24">
      <c r="F19" t="s">
        <v>46</v>
      </c>
      <c r="G19">
        <v>2395</v>
      </c>
      <c r="H19" t="s">
        <v>46</v>
      </c>
      <c r="I19">
        <v>259</v>
      </c>
      <c r="J19" t="s">
        <v>46</v>
      </c>
      <c r="K19">
        <v>54.1</v>
      </c>
      <c r="M19" t="s">
        <v>47</v>
      </c>
      <c r="N19">
        <v>11</v>
      </c>
      <c r="O19">
        <v>13222.916666666601</v>
      </c>
      <c r="W19">
        <f>0.7*$B$7+0.3*$W$18</f>
        <v>188.91405</v>
      </c>
      <c r="X19">
        <f>SQRT(SUMXMY2($B$5:$B$7,$W$16:$W$18)/3)</f>
        <v>16.39589996767485</v>
      </c>
    </row>
    <row r="20" spans="6:24">
      <c r="F20" t="s">
        <v>48</v>
      </c>
      <c r="G20">
        <v>12</v>
      </c>
      <c r="H20" t="s">
        <v>48</v>
      </c>
      <c r="I20">
        <v>12</v>
      </c>
      <c r="J20" t="s">
        <v>48</v>
      </c>
      <c r="K20">
        <v>12</v>
      </c>
      <c r="W20">
        <f>0.7*$B$8+0.3*$W$19</f>
        <v>203.674215</v>
      </c>
      <c r="X20">
        <f>SQRT(SUMXMY2($B$6:$B$8,$W$17:$W$19)/3)</f>
        <v>16.90238045022555</v>
      </c>
    </row>
    <row r="21" spans="6:24">
      <c r="N21" t="s">
        <v>49</v>
      </c>
      <c r="O21" t="s">
        <v>17</v>
      </c>
      <c r="P21" t="s">
        <v>50</v>
      </c>
      <c r="Q21" t="s">
        <v>51</v>
      </c>
      <c r="R21" t="s">
        <v>52</v>
      </c>
      <c r="S21" t="s">
        <v>53</v>
      </c>
      <c r="T21" t="s">
        <v>52</v>
      </c>
      <c r="U21" t="s">
        <v>53</v>
      </c>
      <c r="W21">
        <f>0.7*$B$9+0.3*$W$20</f>
        <v>204.60226449999999</v>
      </c>
      <c r="X21">
        <f>SQRT(SUMXMY2($B$7:$B$9,$W$18:$W$20)/3)</f>
        <v>16.910717267645445</v>
      </c>
    </row>
    <row r="22" spans="6:24">
      <c r="M22" t="s">
        <v>54</v>
      </c>
      <c r="N22" s="4">
        <v>94.474360913628502</v>
      </c>
      <c r="O22" s="4">
        <v>3.8230573789979698</v>
      </c>
      <c r="P22" s="4">
        <v>24.7117297879505</v>
      </c>
      <c r="Q22" s="4">
        <v>2.6898889827086101E-10</v>
      </c>
      <c r="R22" s="4">
        <v>85.956058270496698</v>
      </c>
      <c r="S22" s="4">
        <v>102.99266355675999</v>
      </c>
      <c r="T22" s="4">
        <v>85.956058270496698</v>
      </c>
      <c r="U22" s="4">
        <v>102.99266355675999</v>
      </c>
      <c r="W22">
        <f>0.7*$B$10+0.3*$W$21</f>
        <v>218.88067934999998</v>
      </c>
      <c r="X22">
        <f>SQRT(SUMXMY2($B$8:$B$10,$W$19:$W$21)/3)</f>
        <v>16.955260804016802</v>
      </c>
    </row>
    <row r="23" spans="6:24">
      <c r="M23" t="s">
        <v>2</v>
      </c>
      <c r="N23" s="4">
        <v>4.8699137800635199</v>
      </c>
      <c r="O23" s="4">
        <v>0.16899812669321199</v>
      </c>
      <c r="P23" s="4">
        <v>28.816377289814699</v>
      </c>
      <c r="Q23" s="4">
        <v>5.9003423231422603E-11</v>
      </c>
      <c r="R23" s="4">
        <v>4.4933624896739399</v>
      </c>
      <c r="S23" s="4">
        <v>5.2464650704531097</v>
      </c>
      <c r="T23" s="4">
        <v>4.4933624896739399</v>
      </c>
      <c r="U23" s="4">
        <v>5.2464650704531097</v>
      </c>
      <c r="W23">
        <f>0.7*$B$11+0.3*$W$22</f>
        <v>233.664203805</v>
      </c>
      <c r="X23">
        <f>SQRT(SUMXMY2($B$9:$B$11,$W$20:$W$22)/3)</f>
        <v>16.969099604002789</v>
      </c>
    </row>
    <row r="24" spans="6:24">
      <c r="W24">
        <f>0.7*$B$12+0.3*$W$23</f>
        <v>231.09926114149999</v>
      </c>
      <c r="X24">
        <f>SQRT(SUMXMY2($B$10:$B$12,$W$21:$W$23)/3)</f>
        <v>17.083322352224645</v>
      </c>
    </row>
  </sheetData>
  <mergeCells count="9">
    <mergeCell ref="AA13:AB13"/>
    <mergeCell ref="AA14:AB14"/>
    <mergeCell ref="AA15:AB15"/>
    <mergeCell ref="W12:X12"/>
    <mergeCell ref="H6:I6"/>
    <mergeCell ref="J6:K6"/>
    <mergeCell ref="M6:N6"/>
    <mergeCell ref="AA11:AB11"/>
    <mergeCell ref="AA12:AB12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903B6D65-18E9-4C64-94B4-4D8DC5E8766C}">
          <xm:f>Sheet1!1:1048576</xm:f>
        </x15:webExtension>
        <x15:webExtension appRef="{E49504A5-E674-498F-9565-355643C0ED16}">
          <xm:f>Sheet1!$B$2:$B$13</xm:f>
        </x15:webExtension>
        <x15:webExtension appRef="{80CCC75A-8FFE-4065-849C-FAAFFE15A6C6}">
          <xm:f>Sheet1!$AA$12:$AA$16</xm:f>
        </x15:webExtension>
        <x15:webExtension appRef="{E5FC0182-1AE0-41CB-A7C4-1DE5D9245BD2}">
          <xm:f>Sheet1!$B$1:$B$13</xm:f>
        </x15:webExtension>
        <x15:webExtension appRef="{797EC356-D8B4-4259-80F6-E1DD2327538C}">
          <xm:f>Sheet1!$C$1:$C$13</xm:f>
        </x15:webExtension>
        <x15:webExtension appRef="{230F5BBB-4651-45D2-8DBE-E23ECE8BFCAE}">
          <xm:f>Sheet1!1:1048576</xm:f>
        </x15:webExtension>
        <x15:webExtension appRef="{B3A3492D-2678-41FB-8755-F39E7FEDE52C}">
          <xm:f>Sheet1!$B$1:$B$13</xm:f>
        </x15:webExtension>
        <x15:webExtension appRef="{8A814C26-CC17-44E0-AD7D-9D24A8744F0E}">
          <xm:f>Sheet1!$AE$8:$AK$13</xm:f>
        </x15:webExtension>
        <x15:webExtension appRef="{55BE9783-83D9-48E6-8D65-91C1B5996D45}">
          <xm:f>Sheet1!$B$1:$B$13</xm:f>
        </x15:webExtension>
        <x15:webExtension appRef="{659F0DF8-14AD-4FAE-AB93-634BC2DE53F0}">
          <xm:f>Sheet1!$C$1:$C$13</xm:f>
        </x15:webExtension>
        <x15:webExtension appRef="{1C330F29-6F43-410F-AB3C-4A3508A5C834}">
          <xm:f>Sheet1!$A$1:$A$13</xm:f>
        </x15:webExtension>
        <x15:webExtension appRef="{230F5BBB-4651-45D2-8DBE-E23ECE8BFCAE}">
          <xm:f>Sheet1!1:1048576</xm:f>
        </x15:webExtension>
        <x15:webExtension appRef="{B3A3492D-2678-41FB-8755-F39E7FEDE52C}">
          <xm:f>Sheet1!$B$1:$B$13</xm:f>
        </x15:webExtension>
        <x15:webExtension appRef="{8A814C26-CC17-44E0-AD7D-9D24A8744F0E}">
          <xm:f>Sheet1!$AE$8:$AK$13</xm:f>
        </x15:webExtension>
        <x15:webExtension appRef="{55BE9783-83D9-48E6-8D65-91C1B5996D45}">
          <xm:f>Sheet1!$B$1:$B$13</xm:f>
        </x15:webExtension>
        <x15:webExtension appRef="{659F0DF8-14AD-4FAE-AB93-634BC2DE53F0}">
          <xm:f>Sheet1!$C$1:$C$13</xm:f>
        </x15:webExtension>
        <x15:webExtension appRef="{F563B125-D749-4D9A-977F-1BAF2369469D}">
          <xm:f>Sheet1!$A$1:$A$13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2026-09-10T10:21:00Z</dcterms:created>
  <dcterms:modified xsi:type="dcterms:W3CDTF">2026-09-17T10:57:06Z</dcterms:modified>
  <cp:category/>
  <cp:contentStatus/>
</cp:coreProperties>
</file>